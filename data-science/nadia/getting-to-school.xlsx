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Raw" sheetId="2" state="visible" r:id="rId2"/>
    <sheet name="Groups" sheetId="3" state="visible" r:id="rId3"/>
    <sheet name="Clean" sheetId="4" state="visible" r:id="rId4"/>
    <sheet name="Summary" sheetId="5" state="visible" r:id="rId5"/>
    <sheet name="Change log" sheetId="6" state="visible" r:id="rId6"/>
    <sheet name="Class practice (made up)"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4"/>
    </font>
    <font>
      <b val="1"/>
    </font>
    <font>
      <b val="1"/>
      <color rgb="00A3352A"/>
    </font>
  </fonts>
  <fills count="3">
    <fill>
      <patternFill/>
    </fill>
    <fill>
      <patternFill patternType="gray125"/>
    </fill>
    <fill>
      <patternFill patternType="solid">
        <fgColor rgb="00DCEAF5"/>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2" borderId="0" pivotButton="0" quotePrefix="0" xfId="0"/>
    <xf numFmtId="164" fontId="0" fillId="0" borderId="0" pivotButton="0" quotePrefix="0" xfId="0"/>
    <xf numFmtId="0" fontId="2" fillId="2"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1" t="inlineStr">
        <is>
          <t>Getting to school: Census 2020, primary and secondary pupils</t>
        </is>
      </c>
      <c r="B1" s="2" t="n"/>
    </row>
    <row r="2">
      <c r="A2" s="2" t="inlineStr">
        <is>
          <t>Made by Nadia Hussain, one of SkillForge's AI personas, not a real person. AI wrote this spreadsheet as an example for teachers.</t>
        </is>
      </c>
      <c r="B2" s="2" t="n"/>
    </row>
    <row r="3">
      <c r="A3" s="2" t="inlineStr"/>
      <c r="B3" s="2" t="n"/>
    </row>
    <row r="4">
      <c r="A4" s="3" t="inlineStr">
        <is>
          <t>Question</t>
        </is>
      </c>
      <c r="B4" s="2" t="inlineStr">
        <is>
          <t>How do primary pupils in Singapore get to school, and what changes in secondary school?</t>
        </is>
      </c>
    </row>
    <row r="5">
      <c r="A5" s="3" t="inlineStr">
        <is>
          <t>Source</t>
        </is>
      </c>
      <c r="B5" s="2" t="inlineStr">
        <is>
          <t>Resident Students Aged 5 Years and Over by Usual Mode of Transport to School, Level of Education Attending and Sex (Census of Population 2020), Singapore Department of Statistics, on data.gov.sg</t>
        </is>
      </c>
    </row>
    <row r="6">
      <c r="A6" s="3" t="inlineStr">
        <is>
          <t>Link</t>
        </is>
      </c>
      <c r="B6" s="2" t="inlineStr">
        <is>
          <t>https://data.gov.sg/datasets/d_fc70357c97a64358829c22df30bdd423/view</t>
        </is>
      </c>
    </row>
    <row r="7">
      <c r="A7" s="3" t="inlineStr">
        <is>
          <t>Licence</t>
        </is>
      </c>
      <c r="B7" s="2" t="inlineStr">
        <is>
          <t>Contains information from Resident Students Aged 5 Years and Over by Usual Mode of Transport to School, Level of Education Attending and Sex (Census of Population 2020) accessed on 24 October 2026 from data.gov.sg, which is made available under the terms of the Singapore Open Data Licence version 1.0 (https://data.gov.sg/open-data-licence).</t>
        </is>
      </c>
    </row>
    <row r="8">
      <c r="A8" s="2" t="inlineStr"/>
      <c r="B8" s="2" t="n"/>
    </row>
    <row r="9">
      <c r="A9" s="3" t="inlineStr">
        <is>
          <t>Tab</t>
        </is>
      </c>
      <c r="B9" s="3" t="inlineStr">
        <is>
          <t>What it holds</t>
        </is>
      </c>
    </row>
    <row r="10">
      <c r="A10" s="2" t="inlineStr">
        <is>
          <t>Raw</t>
        </is>
      </c>
      <c r="B10" s="2" t="inlineStr">
        <is>
          <t>The file exactly as downloaded. Do not edit.</t>
        </is>
      </c>
    </row>
    <row r="11">
      <c r="A11" s="2" t="inlineStr">
        <is>
          <t>Groups</t>
        </is>
      </c>
      <c r="B11" s="2" t="inlineStr">
        <is>
          <t>Each of the 11 census ways of travel, the group I put it in, and its numbers pulled from Raw with INDEX and MATCH.</t>
        </is>
      </c>
    </row>
    <row r="12">
      <c r="A12" s="2" t="inlineStr">
        <is>
          <t>Clean</t>
        </is>
      </c>
      <c r="B12" s="2" t="inlineStr">
        <is>
          <t>The tidy table: one row per level and group. Numbers come from Groups with SUMIF.</t>
        </is>
      </c>
    </row>
    <row r="13">
      <c r="A13" s="2" t="inlineStr">
        <is>
          <t>Summary</t>
        </is>
      </c>
      <c r="B13" s="2" t="inlineStr">
        <is>
          <t>Checks: do the groups add up to the census total? Do my numbers match the census report?</t>
        </is>
      </c>
    </row>
    <row r="14">
      <c r="A14" s="2" t="inlineStr">
        <is>
          <t>Change log</t>
        </is>
      </c>
      <c r="B14" s="2" t="inlineStr">
        <is>
          <t>Every change I made, and why.</t>
        </is>
      </c>
    </row>
    <row r="15">
      <c r="A15" s="2" t="inlineStr">
        <is>
          <t>Class practice (made up)</t>
        </is>
      </c>
      <c r="B15" s="2" t="inlineStr">
        <is>
          <t>A made-up class survey with mess to clean. Not real pupils. Use it to practise AVERAGE, MEDIAN, MIN and MAX.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2" customWidth="1" min="1" max="1"/>
  </cols>
  <sheetData>
    <row r="1">
      <c r="A1" s="4" t="inlineStr">
        <is>
          <t>Number</t>
        </is>
      </c>
      <c r="B1" s="4" t="inlineStr">
        <is>
          <t>Total_Total</t>
        </is>
      </c>
      <c r="C1" s="4" t="inlineStr">
        <is>
          <t>Total_Males</t>
        </is>
      </c>
      <c r="D1" s="4" t="inlineStr">
        <is>
          <t>Total_Females</t>
        </is>
      </c>
      <c r="E1" s="4" t="inlineStr">
        <is>
          <t>Pre_Primary_Total</t>
        </is>
      </c>
      <c r="F1" s="4" t="inlineStr">
        <is>
          <t>Pre_Primary_Males</t>
        </is>
      </c>
      <c r="G1" s="4" t="inlineStr">
        <is>
          <t>Pre_Primary_Females</t>
        </is>
      </c>
      <c r="H1" s="4" t="inlineStr">
        <is>
          <t>Primary_Total</t>
        </is>
      </c>
      <c r="I1" s="4" t="inlineStr">
        <is>
          <t>Primary_Males</t>
        </is>
      </c>
      <c r="J1" s="4" t="inlineStr">
        <is>
          <t>Primary_Females</t>
        </is>
      </c>
      <c r="K1" s="4" t="inlineStr">
        <is>
          <t>Secondary_Total</t>
        </is>
      </c>
      <c r="L1" s="4" t="inlineStr">
        <is>
          <t>Secondary_Males</t>
        </is>
      </c>
      <c r="M1" s="4" t="inlineStr">
        <is>
          <t>Secondary_Females</t>
        </is>
      </c>
      <c r="N1" s="4" t="inlineStr">
        <is>
          <t>Post_Secondary_Non_Tertiary_Total</t>
        </is>
      </c>
      <c r="O1" s="4" t="inlineStr">
        <is>
          <t>Post_Secondary_Non_Tertiary_Males</t>
        </is>
      </c>
      <c r="P1" s="4" t="inlineStr">
        <is>
          <t>Post_Secondary_Non_Tertiary_Females</t>
        </is>
      </c>
      <c r="Q1" s="4" t="inlineStr">
        <is>
          <t>PolytechnicDiploma_Total</t>
        </is>
      </c>
      <c r="R1" s="4" t="inlineStr">
        <is>
          <t>PolytechnicDiploma_Males</t>
        </is>
      </c>
      <c r="S1" s="4" t="inlineStr">
        <is>
          <t>PolytechnicDiploma_Females</t>
        </is>
      </c>
      <c r="T1" s="4" t="inlineStr">
        <is>
          <t>ProfessionalQualificationandOtherDiploma_Total</t>
        </is>
      </c>
      <c r="U1" s="4" t="inlineStr">
        <is>
          <t>ProfessionalQualificationandOtherDiploma_Males</t>
        </is>
      </c>
      <c r="V1" s="4" t="inlineStr">
        <is>
          <t>ProfessionalQualificationandOtherDiploma_Females</t>
        </is>
      </c>
      <c r="W1" s="4" t="inlineStr">
        <is>
          <t>University_Total</t>
        </is>
      </c>
      <c r="X1" s="4" t="inlineStr">
        <is>
          <t>University_Males</t>
        </is>
      </c>
      <c r="Y1" s="4" t="inlineStr">
        <is>
          <t>University_Females</t>
        </is>
      </c>
    </row>
    <row r="2">
      <c r="A2" t="inlineStr">
        <is>
          <t>Total</t>
        </is>
      </c>
      <c r="B2" t="n">
        <v>715209</v>
      </c>
      <c r="C2" t="n">
        <v>361536</v>
      </c>
      <c r="D2" t="n">
        <v>353673</v>
      </c>
      <c r="E2" t="n">
        <v>55855</v>
      </c>
      <c r="F2" t="n">
        <v>28872</v>
      </c>
      <c r="G2" t="n">
        <v>26984</v>
      </c>
      <c r="H2" t="n">
        <v>245456</v>
      </c>
      <c r="I2" t="n">
        <v>125817</v>
      </c>
      <c r="J2" t="n">
        <v>119638</v>
      </c>
      <c r="K2" t="n">
        <v>173710</v>
      </c>
      <c r="L2" t="n">
        <v>88302</v>
      </c>
      <c r="M2" t="n">
        <v>85409</v>
      </c>
      <c r="N2" t="n">
        <v>56360</v>
      </c>
      <c r="O2" t="n">
        <v>29919</v>
      </c>
      <c r="P2" t="n">
        <v>26441</v>
      </c>
      <c r="Q2" t="n">
        <v>72608</v>
      </c>
      <c r="R2" t="n">
        <v>37780</v>
      </c>
      <c r="S2" t="n">
        <v>34828</v>
      </c>
      <c r="T2" t="n">
        <v>11376</v>
      </c>
      <c r="U2" t="n">
        <v>5242</v>
      </c>
      <c r="V2" t="n">
        <v>6134</v>
      </c>
      <c r="W2" t="n">
        <v>99844</v>
      </c>
      <c r="X2" t="n">
        <v>45605</v>
      </c>
      <c r="Y2" t="n">
        <v>54239</v>
      </c>
    </row>
    <row r="3">
      <c r="A3" t="inlineStr">
        <is>
          <t>Public Bus Only</t>
        </is>
      </c>
      <c r="B3" t="n">
        <v>157002</v>
      </c>
      <c r="C3" t="n">
        <v>79414</v>
      </c>
      <c r="D3" t="n">
        <v>77588</v>
      </c>
      <c r="E3" t="n">
        <v>6093</v>
      </c>
      <c r="F3" t="n">
        <v>3167</v>
      </c>
      <c r="G3" t="n">
        <v>2926</v>
      </c>
      <c r="H3" t="n">
        <v>38560</v>
      </c>
      <c r="I3" t="n">
        <v>19403</v>
      </c>
      <c r="J3" t="n">
        <v>19157</v>
      </c>
      <c r="K3" t="n">
        <v>64080</v>
      </c>
      <c r="L3" t="n">
        <v>32945</v>
      </c>
      <c r="M3" t="n">
        <v>31136</v>
      </c>
      <c r="N3" t="n">
        <v>14542</v>
      </c>
      <c r="O3" t="n">
        <v>8219</v>
      </c>
      <c r="P3" t="n">
        <v>6323</v>
      </c>
      <c r="Q3" t="n">
        <v>17629</v>
      </c>
      <c r="R3" t="n">
        <v>8696</v>
      </c>
      <c r="S3" t="n">
        <v>8933</v>
      </c>
      <c r="T3" t="n">
        <v>2290</v>
      </c>
      <c r="U3" t="n">
        <v>1142</v>
      </c>
      <c r="V3" t="n">
        <v>1148</v>
      </c>
      <c r="W3" t="n">
        <v>13808</v>
      </c>
      <c r="X3" t="n">
        <v>5842</v>
      </c>
      <c r="Y3" t="n">
        <v>7966</v>
      </c>
    </row>
    <row r="4">
      <c r="A4" t="inlineStr">
        <is>
          <t>Rail (MRT/LRT) Only</t>
        </is>
      </c>
      <c r="B4" t="n">
        <v>54685</v>
      </c>
      <c r="C4" t="n">
        <v>28182</v>
      </c>
      <c r="D4" t="n">
        <v>26503</v>
      </c>
      <c r="E4" t="n">
        <v>710</v>
      </c>
      <c r="F4" t="n">
        <v>315</v>
      </c>
      <c r="G4" t="n">
        <v>396</v>
      </c>
      <c r="H4" t="n">
        <v>3960</v>
      </c>
      <c r="I4" t="n">
        <v>2127</v>
      </c>
      <c r="J4" t="n">
        <v>1833</v>
      </c>
      <c r="K4" t="n">
        <v>13238</v>
      </c>
      <c r="L4" t="n">
        <v>7216</v>
      </c>
      <c r="M4" t="n">
        <v>6022</v>
      </c>
      <c r="N4" t="n">
        <v>7019</v>
      </c>
      <c r="O4" t="n">
        <v>3647</v>
      </c>
      <c r="P4" t="n">
        <v>3372</v>
      </c>
      <c r="Q4" t="n">
        <v>12067</v>
      </c>
      <c r="R4" t="n">
        <v>6715</v>
      </c>
      <c r="S4" t="n">
        <v>5352</v>
      </c>
      <c r="T4" t="n">
        <v>1880</v>
      </c>
      <c r="U4" t="n">
        <v>692</v>
      </c>
      <c r="V4" t="n">
        <v>1188</v>
      </c>
      <c r="W4" t="n">
        <v>15811</v>
      </c>
      <c r="X4" t="n">
        <v>7471</v>
      </c>
      <c r="Y4" t="n">
        <v>8340</v>
      </c>
    </row>
    <row r="5">
      <c r="A5" t="inlineStr">
        <is>
          <t>Rail (MRT/LRT) &amp; Public Bus Only</t>
        </is>
      </c>
      <c r="B5" t="n">
        <v>171218</v>
      </c>
      <c r="C5" t="n">
        <v>83683</v>
      </c>
      <c r="D5" t="n">
        <v>87535</v>
      </c>
      <c r="E5" t="n">
        <v>1044</v>
      </c>
      <c r="F5" t="n">
        <v>587</v>
      </c>
      <c r="G5" t="n">
        <v>457</v>
      </c>
      <c r="H5" t="n">
        <v>7333</v>
      </c>
      <c r="I5" t="n">
        <v>3627</v>
      </c>
      <c r="J5" t="n">
        <v>3706</v>
      </c>
      <c r="K5" t="n">
        <v>40809</v>
      </c>
      <c r="L5" t="n">
        <v>20477</v>
      </c>
      <c r="M5" t="n">
        <v>20332</v>
      </c>
      <c r="N5" t="n">
        <v>26415</v>
      </c>
      <c r="O5" t="n">
        <v>13795</v>
      </c>
      <c r="P5" t="n">
        <v>12620</v>
      </c>
      <c r="Q5" t="n">
        <v>37187</v>
      </c>
      <c r="R5" t="n">
        <v>18881</v>
      </c>
      <c r="S5" t="n">
        <v>18306</v>
      </c>
      <c r="T5" t="n">
        <v>5702</v>
      </c>
      <c r="U5" t="n">
        <v>2721</v>
      </c>
      <c r="V5" t="n">
        <v>2981</v>
      </c>
      <c r="W5" t="n">
        <v>52729</v>
      </c>
      <c r="X5" t="n">
        <v>23595</v>
      </c>
      <c r="Y5" t="n">
        <v>29134</v>
      </c>
    </row>
    <row r="6">
      <c r="A6" t="inlineStr">
        <is>
          <t>Combination of Rail (MRT/LRT) and/or Public Bus, with Other Modes</t>
        </is>
      </c>
      <c r="B6" t="n">
        <v>7946</v>
      </c>
      <c r="C6" t="n">
        <v>4190</v>
      </c>
      <c r="D6" t="n">
        <v>3756</v>
      </c>
      <c r="E6" t="n">
        <v>387</v>
      </c>
      <c r="F6" t="n">
        <v>234</v>
      </c>
      <c r="G6" t="n">
        <v>154</v>
      </c>
      <c r="H6" t="n">
        <v>2518</v>
      </c>
      <c r="I6" t="n">
        <v>1370</v>
      </c>
      <c r="J6" t="n">
        <v>1147</v>
      </c>
      <c r="K6" t="n">
        <v>2665</v>
      </c>
      <c r="L6" t="n">
        <v>1450</v>
      </c>
      <c r="M6" t="n">
        <v>1214</v>
      </c>
      <c r="N6" t="n">
        <v>602</v>
      </c>
      <c r="O6" t="n">
        <v>259</v>
      </c>
      <c r="P6" t="n">
        <v>343</v>
      </c>
      <c r="Q6" t="n">
        <v>594</v>
      </c>
      <c r="R6" t="n">
        <v>319</v>
      </c>
      <c r="S6" t="n">
        <v>274</v>
      </c>
      <c r="T6" t="n">
        <v>87</v>
      </c>
      <c r="U6" t="n">
        <v>57</v>
      </c>
      <c r="V6" t="n">
        <v>29</v>
      </c>
      <c r="W6" t="n">
        <v>1094</v>
      </c>
      <c r="X6" t="n">
        <v>499</v>
      </c>
      <c r="Y6" t="n">
        <v>595</v>
      </c>
    </row>
    <row r="7">
      <c r="A7" t="inlineStr">
        <is>
          <t>Taxi/Private Hire Car Only</t>
        </is>
      </c>
      <c r="B7" t="n">
        <v>4806</v>
      </c>
      <c r="C7" t="n">
        <v>2440</v>
      </c>
      <c r="D7" t="n">
        <v>2366</v>
      </c>
      <c r="E7" t="n">
        <v>662</v>
      </c>
      <c r="F7" t="n">
        <v>408</v>
      </c>
      <c r="G7" t="n">
        <v>255</v>
      </c>
      <c r="H7" t="n">
        <v>1797</v>
      </c>
      <c r="I7" t="n">
        <v>909</v>
      </c>
      <c r="J7" t="n">
        <v>887</v>
      </c>
      <c r="K7" t="n">
        <v>989</v>
      </c>
      <c r="L7" t="n">
        <v>410</v>
      </c>
      <c r="M7" t="n">
        <v>578</v>
      </c>
      <c r="N7" t="n">
        <v>282</v>
      </c>
      <c r="O7" t="n">
        <v>200</v>
      </c>
      <c r="P7" t="n">
        <v>82</v>
      </c>
      <c r="Q7" t="n">
        <v>136</v>
      </c>
      <c r="R7" t="n">
        <v>69</v>
      </c>
      <c r="S7" t="n">
        <v>67</v>
      </c>
      <c r="T7" t="n">
        <v>91</v>
      </c>
      <c r="U7" t="n">
        <v>23</v>
      </c>
      <c r="V7" t="n">
        <v>68</v>
      </c>
      <c r="W7" t="n">
        <v>850</v>
      </c>
      <c r="X7" t="n">
        <v>421</v>
      </c>
      <c r="Y7" t="n">
        <v>429</v>
      </c>
    </row>
    <row r="8">
      <c r="A8" t="inlineStr">
        <is>
          <t>Car Only</t>
        </is>
      </c>
      <c r="B8" t="n">
        <v>96498</v>
      </c>
      <c r="C8" t="n">
        <v>47993</v>
      </c>
      <c r="D8" t="n">
        <v>48505</v>
      </c>
      <c r="E8" t="n">
        <v>12378</v>
      </c>
      <c r="F8" t="n">
        <v>6340</v>
      </c>
      <c r="G8" t="n">
        <v>6037</v>
      </c>
      <c r="H8" t="n">
        <v>51709</v>
      </c>
      <c r="I8" t="n">
        <v>26411</v>
      </c>
      <c r="J8" t="n">
        <v>25298</v>
      </c>
      <c r="K8" t="n">
        <v>21531</v>
      </c>
      <c r="L8" t="n">
        <v>10128</v>
      </c>
      <c r="M8" t="n">
        <v>11403</v>
      </c>
      <c r="N8" t="n">
        <v>4394</v>
      </c>
      <c r="O8" t="n">
        <v>1848</v>
      </c>
      <c r="P8" t="n">
        <v>2547</v>
      </c>
      <c r="Q8" t="n">
        <v>1241</v>
      </c>
      <c r="R8" t="n">
        <v>740</v>
      </c>
      <c r="S8" t="n">
        <v>501</v>
      </c>
      <c r="T8" t="n">
        <v>308</v>
      </c>
      <c r="U8" t="n">
        <v>132</v>
      </c>
      <c r="V8" t="n">
        <v>176</v>
      </c>
      <c r="W8" t="n">
        <v>4937</v>
      </c>
      <c r="X8" t="n">
        <v>2394</v>
      </c>
      <c r="Y8" t="n">
        <v>2543</v>
      </c>
    </row>
    <row r="9">
      <c r="A9" t="inlineStr">
        <is>
          <t>Private Chartered Bus/Van Only</t>
        </is>
      </c>
      <c r="B9" t="n">
        <v>44046</v>
      </c>
      <c r="C9" t="n">
        <v>22336</v>
      </c>
      <c r="D9" t="n">
        <v>21710</v>
      </c>
      <c r="E9" t="n">
        <v>5308</v>
      </c>
      <c r="F9" t="n">
        <v>2739</v>
      </c>
      <c r="G9" t="n">
        <v>2569</v>
      </c>
      <c r="H9" t="n">
        <v>33842</v>
      </c>
      <c r="I9" t="n">
        <v>17184</v>
      </c>
      <c r="J9" t="n">
        <v>16658</v>
      </c>
      <c r="K9" t="n">
        <v>4061</v>
      </c>
      <c r="L9" t="n">
        <v>2007</v>
      </c>
      <c r="M9" t="n">
        <v>2054</v>
      </c>
      <c r="N9" t="n">
        <v>461</v>
      </c>
      <c r="O9" t="n">
        <v>203</v>
      </c>
      <c r="P9" t="n">
        <v>258</v>
      </c>
      <c r="Q9" t="n">
        <v>75</v>
      </c>
      <c r="R9" t="n">
        <v>41</v>
      </c>
      <c r="S9" t="n">
        <v>34</v>
      </c>
      <c r="T9" t="n">
        <v>16</v>
      </c>
      <c r="U9" t="n">
        <v>7</v>
      </c>
      <c r="V9" t="n">
        <v>9</v>
      </c>
      <c r="W9" t="n">
        <v>283</v>
      </c>
      <c r="X9" t="n">
        <v>155</v>
      </c>
      <c r="Y9" t="n">
        <v>128</v>
      </c>
    </row>
    <row r="10">
      <c r="A10" t="inlineStr">
        <is>
          <t>Lorry/Pickup Only</t>
        </is>
      </c>
      <c r="B10" t="n">
        <v>964</v>
      </c>
      <c r="C10" t="n">
        <v>455</v>
      </c>
      <c r="D10" t="n">
        <v>509</v>
      </c>
      <c r="E10" t="n">
        <v>132</v>
      </c>
      <c r="F10" t="n">
        <v>107</v>
      </c>
      <c r="G10" t="n">
        <v>25</v>
      </c>
      <c r="H10" t="n">
        <v>542</v>
      </c>
      <c r="I10" t="n">
        <v>226</v>
      </c>
      <c r="J10" t="n">
        <v>316</v>
      </c>
      <c r="K10" t="n">
        <v>242</v>
      </c>
      <c r="L10" t="n">
        <v>105</v>
      </c>
      <c r="M10" t="n">
        <v>137</v>
      </c>
      <c r="N10" t="inlineStr">
        <is>
          <t>-</t>
        </is>
      </c>
      <c r="O10" t="inlineStr">
        <is>
          <t>-</t>
        </is>
      </c>
      <c r="P10" t="inlineStr">
        <is>
          <t>-</t>
        </is>
      </c>
      <c r="Q10" t="n">
        <v>35</v>
      </c>
      <c r="R10" t="n">
        <v>17</v>
      </c>
      <c r="S10" t="n">
        <v>17</v>
      </c>
      <c r="T10" t="n">
        <v>13</v>
      </c>
      <c r="U10" t="inlineStr">
        <is>
          <t>-</t>
        </is>
      </c>
      <c r="V10" t="n">
        <v>13</v>
      </c>
      <c r="W10" t="inlineStr">
        <is>
          <t>-</t>
        </is>
      </c>
      <c r="X10" t="inlineStr">
        <is>
          <t>-</t>
        </is>
      </c>
      <c r="Y10" t="inlineStr">
        <is>
          <t>-</t>
        </is>
      </c>
    </row>
    <row r="11">
      <c r="A11" t="inlineStr">
        <is>
          <t>Motorcycle/Scooter Only</t>
        </is>
      </c>
      <c r="B11" t="n">
        <v>3134</v>
      </c>
      <c r="C11" t="n">
        <v>2583</v>
      </c>
      <c r="D11" t="n">
        <v>551</v>
      </c>
      <c r="E11" t="n">
        <v>69</v>
      </c>
      <c r="F11" t="n">
        <v>51</v>
      </c>
      <c r="G11" t="n">
        <v>17</v>
      </c>
      <c r="H11" t="n">
        <v>561</v>
      </c>
      <c r="I11" t="n">
        <v>291</v>
      </c>
      <c r="J11" t="n">
        <v>270</v>
      </c>
      <c r="K11" t="n">
        <v>228</v>
      </c>
      <c r="L11" t="n">
        <v>126</v>
      </c>
      <c r="M11" t="n">
        <v>102</v>
      </c>
      <c r="N11" t="n">
        <v>514</v>
      </c>
      <c r="O11" t="n">
        <v>503</v>
      </c>
      <c r="P11" t="n">
        <v>11</v>
      </c>
      <c r="Q11" t="n">
        <v>730</v>
      </c>
      <c r="R11" t="n">
        <v>627</v>
      </c>
      <c r="S11" t="n">
        <v>103</v>
      </c>
      <c r="T11" t="n">
        <v>124</v>
      </c>
      <c r="U11" t="n">
        <v>110</v>
      </c>
      <c r="V11" t="n">
        <v>14</v>
      </c>
      <c r="W11" t="n">
        <v>909</v>
      </c>
      <c r="X11" t="n">
        <v>875</v>
      </c>
      <c r="Y11" t="n">
        <v>34</v>
      </c>
    </row>
    <row r="12">
      <c r="A12" t="inlineStr">
        <is>
          <t>Others</t>
        </is>
      </c>
      <c r="B12" t="n">
        <v>5866</v>
      </c>
      <c r="C12" t="n">
        <v>3118</v>
      </c>
      <c r="D12" t="n">
        <v>2748</v>
      </c>
      <c r="E12" t="n">
        <v>996</v>
      </c>
      <c r="F12" t="n">
        <v>479</v>
      </c>
      <c r="G12" t="n">
        <v>516</v>
      </c>
      <c r="H12" t="n">
        <v>3278</v>
      </c>
      <c r="I12" t="n">
        <v>1547</v>
      </c>
      <c r="J12" t="n">
        <v>1731</v>
      </c>
      <c r="K12" t="n">
        <v>932</v>
      </c>
      <c r="L12" t="n">
        <v>696</v>
      </c>
      <c r="M12" t="n">
        <v>236</v>
      </c>
      <c r="N12" t="n">
        <v>191</v>
      </c>
      <c r="O12" t="n">
        <v>128</v>
      </c>
      <c r="P12" t="n">
        <v>62</v>
      </c>
      <c r="Q12" t="n">
        <v>117</v>
      </c>
      <c r="R12" t="n">
        <v>75</v>
      </c>
      <c r="S12" t="n">
        <v>41</v>
      </c>
      <c r="T12" t="n">
        <v>21</v>
      </c>
      <c r="U12" t="n">
        <v>12</v>
      </c>
      <c r="V12" t="n">
        <v>10</v>
      </c>
      <c r="W12" t="n">
        <v>331</v>
      </c>
      <c r="X12" t="n">
        <v>181</v>
      </c>
      <c r="Y12" t="n">
        <v>151</v>
      </c>
    </row>
    <row r="13">
      <c r="A13" t="inlineStr">
        <is>
          <t>No Transport Required</t>
        </is>
      </c>
      <c r="B13" t="n">
        <v>169044</v>
      </c>
      <c r="C13" t="n">
        <v>87143</v>
      </c>
      <c r="D13" t="n">
        <v>81901</v>
      </c>
      <c r="E13" t="n">
        <v>28077</v>
      </c>
      <c r="F13" t="n">
        <v>14446</v>
      </c>
      <c r="G13" t="n">
        <v>13631</v>
      </c>
      <c r="H13" t="n">
        <v>101356</v>
      </c>
      <c r="I13" t="n">
        <v>52721</v>
      </c>
      <c r="J13" t="n">
        <v>48635</v>
      </c>
      <c r="K13" t="n">
        <v>24935</v>
      </c>
      <c r="L13" t="n">
        <v>12741</v>
      </c>
      <c r="M13" t="n">
        <v>12194</v>
      </c>
      <c r="N13" t="n">
        <v>1941</v>
      </c>
      <c r="O13" t="n">
        <v>1117</v>
      </c>
      <c r="P13" t="n">
        <v>824</v>
      </c>
      <c r="Q13" t="n">
        <v>2798</v>
      </c>
      <c r="R13" t="n">
        <v>1599</v>
      </c>
      <c r="S13" t="n">
        <v>1199</v>
      </c>
      <c r="T13" t="n">
        <v>845</v>
      </c>
      <c r="U13" t="n">
        <v>347</v>
      </c>
      <c r="V13" t="n">
        <v>498</v>
      </c>
      <c r="W13" t="n">
        <v>9093</v>
      </c>
      <c r="X13" t="n">
        <v>4173</v>
      </c>
      <c r="Y13" t="n">
        <v>4919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2" customWidth="1" min="1" max="1"/>
    <col width="36" customWidth="1" min="2" max="2"/>
    <col width="16" customWidth="1" min="3" max="3"/>
    <col width="16" customWidth="1" min="4" max="4"/>
  </cols>
  <sheetData>
    <row r="1">
      <c r="A1" s="4" t="inlineStr">
        <is>
          <t>Census way of travel</t>
        </is>
      </c>
      <c r="B1" s="4" t="inlineStr">
        <is>
          <t>My group</t>
        </is>
      </c>
      <c r="C1" s="4" t="inlineStr">
        <is>
          <t>Primary pupils</t>
        </is>
      </c>
      <c r="D1" s="4" t="inlineStr">
        <is>
          <t>Secondary pupils</t>
        </is>
      </c>
    </row>
    <row r="2">
      <c r="A2" t="inlineStr">
        <is>
          <t>Public Bus Only</t>
        </is>
      </c>
      <c r="B2" t="inlineStr">
        <is>
          <t>Public bus</t>
        </is>
      </c>
      <c r="C2">
        <f>INDEX(Raw!$H$1:$H$13,MATCH($A2,Raw!$A$1:$A$13,0))</f>
        <v/>
      </c>
      <c r="D2">
        <f>INDEX(Raw!$K$1:$K$13,MATCH($A2,Raw!$A$1:$A$13,0))</f>
        <v/>
      </c>
    </row>
    <row r="3">
      <c r="A3" t="inlineStr">
        <is>
          <t>Rail (MRT/LRT) Only</t>
        </is>
      </c>
      <c r="B3" t="inlineStr">
        <is>
          <t>MRT or LRT, with or without a bus</t>
        </is>
      </c>
      <c r="C3">
        <f>INDEX(Raw!$H$1:$H$13,MATCH($A3,Raw!$A$1:$A$13,0))</f>
        <v/>
      </c>
      <c r="D3">
        <f>INDEX(Raw!$K$1:$K$13,MATCH($A3,Raw!$A$1:$A$13,0))</f>
        <v/>
      </c>
    </row>
    <row r="4">
      <c r="A4" t="inlineStr">
        <is>
          <t>Rail (MRT/LRT) &amp; Public Bus Only</t>
        </is>
      </c>
      <c r="B4" t="inlineStr">
        <is>
          <t>MRT or LRT, with or without a bus</t>
        </is>
      </c>
      <c r="C4">
        <f>INDEX(Raw!$H$1:$H$13,MATCH($A4,Raw!$A$1:$A$13,0))</f>
        <v/>
      </c>
      <c r="D4">
        <f>INDEX(Raw!$K$1:$K$13,MATCH($A4,Raw!$A$1:$A$13,0))</f>
        <v/>
      </c>
    </row>
    <row r="5">
      <c r="A5" t="inlineStr">
        <is>
          <t>Combination of Rail (MRT/LRT) and/or Public Bus, with Other Modes</t>
        </is>
      </c>
      <c r="B5" t="inlineStr">
        <is>
          <t>MRT or LRT, with or without a bus</t>
        </is>
      </c>
      <c r="C5">
        <f>INDEX(Raw!$H$1:$H$13,MATCH($A5,Raw!$A$1:$A$13,0))</f>
        <v/>
      </c>
      <c r="D5">
        <f>INDEX(Raw!$K$1:$K$13,MATCH($A5,Raw!$A$1:$A$13,0))</f>
        <v/>
      </c>
    </row>
    <row r="6">
      <c r="A6" t="inlineStr">
        <is>
          <t>Taxi/Private Hire Car Only</t>
        </is>
      </c>
      <c r="B6" t="inlineStr">
        <is>
          <t>Car, taxi or private-hire car</t>
        </is>
      </c>
      <c r="C6">
        <f>INDEX(Raw!$H$1:$H$13,MATCH($A6,Raw!$A$1:$A$13,0))</f>
        <v/>
      </c>
      <c r="D6">
        <f>INDEX(Raw!$K$1:$K$13,MATCH($A6,Raw!$A$1:$A$13,0))</f>
        <v/>
      </c>
    </row>
    <row r="7">
      <c r="A7" t="inlineStr">
        <is>
          <t>Car Only</t>
        </is>
      </c>
      <c r="B7" t="inlineStr">
        <is>
          <t>Car, taxi or private-hire car</t>
        </is>
      </c>
      <c r="C7">
        <f>INDEX(Raw!$H$1:$H$13,MATCH($A7,Raw!$A$1:$A$13,0))</f>
        <v/>
      </c>
      <c r="D7">
        <f>INDEX(Raw!$K$1:$K$13,MATCH($A7,Raw!$A$1:$A$13,0))</f>
        <v/>
      </c>
    </row>
    <row r="8">
      <c r="A8" t="inlineStr">
        <is>
          <t>Private Chartered Bus/Van Only</t>
        </is>
      </c>
      <c r="B8" t="inlineStr">
        <is>
          <t>School bus or van</t>
        </is>
      </c>
      <c r="C8">
        <f>INDEX(Raw!$H$1:$H$13,MATCH($A8,Raw!$A$1:$A$13,0))</f>
        <v/>
      </c>
      <c r="D8">
        <f>INDEX(Raw!$K$1:$K$13,MATCH($A8,Raw!$A$1:$A$13,0))</f>
        <v/>
      </c>
    </row>
    <row r="9">
      <c r="A9" t="inlineStr">
        <is>
          <t>Lorry/Pickup Only</t>
        </is>
      </c>
      <c r="B9" t="inlineStr">
        <is>
          <t>Other ways</t>
        </is>
      </c>
      <c r="C9">
        <f>INDEX(Raw!$H$1:$H$13,MATCH($A9,Raw!$A$1:$A$13,0))</f>
        <v/>
      </c>
      <c r="D9">
        <f>INDEX(Raw!$K$1:$K$13,MATCH($A9,Raw!$A$1:$A$13,0))</f>
        <v/>
      </c>
    </row>
    <row r="10">
      <c r="A10" t="inlineStr">
        <is>
          <t>Motorcycle/Scooter Only</t>
        </is>
      </c>
      <c r="B10" t="inlineStr">
        <is>
          <t>Other ways</t>
        </is>
      </c>
      <c r="C10">
        <f>INDEX(Raw!$H$1:$H$13,MATCH($A10,Raw!$A$1:$A$13,0))</f>
        <v/>
      </c>
      <c r="D10">
        <f>INDEX(Raw!$K$1:$K$13,MATCH($A10,Raw!$A$1:$A$13,0))</f>
        <v/>
      </c>
    </row>
    <row r="11">
      <c r="A11" t="inlineStr">
        <is>
          <t>Others</t>
        </is>
      </c>
      <c r="B11" t="inlineStr">
        <is>
          <t>Other ways</t>
        </is>
      </c>
      <c r="C11">
        <f>INDEX(Raw!$H$1:$H$13,MATCH($A11,Raw!$A$1:$A$13,0))</f>
        <v/>
      </c>
      <c r="D11">
        <f>INDEX(Raw!$K$1:$K$13,MATCH($A11,Raw!$A$1:$A$13,0))</f>
        <v/>
      </c>
    </row>
    <row r="12">
      <c r="A12" t="inlineStr">
        <is>
          <t>No Transport Required</t>
        </is>
      </c>
      <c r="B12" t="inlineStr">
        <is>
          <t>No transport needed</t>
        </is>
      </c>
      <c r="C12">
        <f>INDEX(Raw!$H$1:$H$13,MATCH($A12,Raw!$A$1:$A$13,0))</f>
        <v/>
      </c>
      <c r="D12">
        <f>INDEX(Raw!$K$1:$K$13,MATCH($A12,Raw!$A$1:$A$13,0))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6" customWidth="1" min="2" max="2"/>
    <col width="12" customWidth="1" min="3" max="3"/>
    <col width="18" customWidth="1" min="4" max="4"/>
  </cols>
  <sheetData>
    <row r="1">
      <c r="A1" s="4" t="inlineStr">
        <is>
          <t>level</t>
        </is>
      </c>
      <c r="B1" s="4" t="inlineStr">
        <is>
          <t>group</t>
        </is>
      </c>
      <c r="C1" s="4" t="inlineStr">
        <is>
          <t>pupils</t>
        </is>
      </c>
      <c r="D1" s="4" t="inlineStr">
        <is>
          <t>percent_of_level</t>
        </is>
      </c>
    </row>
    <row r="2">
      <c r="A2" t="inlineStr">
        <is>
          <t>Primary</t>
        </is>
      </c>
      <c r="B2" t="inlineStr">
        <is>
          <t>No transport needed</t>
        </is>
      </c>
      <c r="C2">
        <f>SUMIF(Groups!$B$2:$B$12,$B2,Groups!C$2:C$12)</f>
        <v/>
      </c>
      <c r="D2" s="5">
        <f>C2/SUMIF($A$2:$A$13,$A2,$C$2:$C$13)</f>
        <v/>
      </c>
    </row>
    <row r="3">
      <c r="A3" t="inlineStr">
        <is>
          <t>Primary</t>
        </is>
      </c>
      <c r="B3" t="inlineStr">
        <is>
          <t>Car, taxi or private-hire car</t>
        </is>
      </c>
      <c r="C3">
        <f>SUMIF(Groups!$B$2:$B$12,$B3,Groups!C$2:C$12)</f>
        <v/>
      </c>
      <c r="D3" s="5">
        <f>C3/SUMIF($A$2:$A$13,$A3,$C$2:$C$13)</f>
        <v/>
      </c>
    </row>
    <row r="4">
      <c r="A4" t="inlineStr">
        <is>
          <t>Primary</t>
        </is>
      </c>
      <c r="B4" t="inlineStr">
        <is>
          <t>Public bus</t>
        </is>
      </c>
      <c r="C4">
        <f>SUMIF(Groups!$B$2:$B$12,$B4,Groups!C$2:C$12)</f>
        <v/>
      </c>
      <c r="D4" s="5">
        <f>C4/SUMIF($A$2:$A$13,$A4,$C$2:$C$13)</f>
        <v/>
      </c>
    </row>
    <row r="5">
      <c r="A5" t="inlineStr">
        <is>
          <t>Primary</t>
        </is>
      </c>
      <c r="B5" t="inlineStr">
        <is>
          <t>School bus or van</t>
        </is>
      </c>
      <c r="C5">
        <f>SUMIF(Groups!$B$2:$B$12,$B5,Groups!C$2:C$12)</f>
        <v/>
      </c>
      <c r="D5" s="5">
        <f>C5/SUMIF($A$2:$A$13,$A5,$C$2:$C$13)</f>
        <v/>
      </c>
    </row>
    <row r="6">
      <c r="A6" t="inlineStr">
        <is>
          <t>Primary</t>
        </is>
      </c>
      <c r="B6" t="inlineStr">
        <is>
          <t>MRT or LRT, with or without a bus</t>
        </is>
      </c>
      <c r="C6">
        <f>SUMIF(Groups!$B$2:$B$12,$B6,Groups!C$2:C$12)</f>
        <v/>
      </c>
      <c r="D6" s="5">
        <f>C6/SUMIF($A$2:$A$13,$A6,$C$2:$C$13)</f>
        <v/>
      </c>
    </row>
    <row r="7">
      <c r="A7" t="inlineStr">
        <is>
          <t>Primary</t>
        </is>
      </c>
      <c r="B7" t="inlineStr">
        <is>
          <t>Other ways</t>
        </is>
      </c>
      <c r="C7">
        <f>SUMIF(Groups!$B$2:$B$12,$B7,Groups!C$2:C$12)</f>
        <v/>
      </c>
      <c r="D7" s="5">
        <f>C7/SUMIF($A$2:$A$13,$A7,$C$2:$C$13)</f>
        <v/>
      </c>
    </row>
    <row r="8">
      <c r="A8" t="inlineStr">
        <is>
          <t>Secondary</t>
        </is>
      </c>
      <c r="B8" t="inlineStr">
        <is>
          <t>No transport needed</t>
        </is>
      </c>
      <c r="C8">
        <f>SUMIF(Groups!$B$2:$B$12,$B8,Groups!D$2:D$12)</f>
        <v/>
      </c>
      <c r="D8" s="5">
        <f>C8/SUMIF($A$2:$A$13,$A8,$C$2:$C$13)</f>
        <v/>
      </c>
    </row>
    <row r="9">
      <c r="A9" t="inlineStr">
        <is>
          <t>Secondary</t>
        </is>
      </c>
      <c r="B9" t="inlineStr">
        <is>
          <t>Car, taxi or private-hire car</t>
        </is>
      </c>
      <c r="C9">
        <f>SUMIF(Groups!$B$2:$B$12,$B9,Groups!D$2:D$12)</f>
        <v/>
      </c>
      <c r="D9" s="5">
        <f>C9/SUMIF($A$2:$A$13,$A9,$C$2:$C$13)</f>
        <v/>
      </c>
    </row>
    <row r="10">
      <c r="A10" t="inlineStr">
        <is>
          <t>Secondary</t>
        </is>
      </c>
      <c r="B10" t="inlineStr">
        <is>
          <t>Public bus</t>
        </is>
      </c>
      <c r="C10">
        <f>SUMIF(Groups!$B$2:$B$12,$B10,Groups!D$2:D$12)</f>
        <v/>
      </c>
      <c r="D10" s="5">
        <f>C10/SUMIF($A$2:$A$13,$A10,$C$2:$C$13)</f>
        <v/>
      </c>
    </row>
    <row r="11">
      <c r="A11" t="inlineStr">
        <is>
          <t>Secondary</t>
        </is>
      </c>
      <c r="B11" t="inlineStr">
        <is>
          <t>School bus or van</t>
        </is>
      </c>
      <c r="C11">
        <f>SUMIF(Groups!$B$2:$B$12,$B11,Groups!D$2:D$12)</f>
        <v/>
      </c>
      <c r="D11" s="5">
        <f>C11/SUMIF($A$2:$A$13,$A11,$C$2:$C$13)</f>
        <v/>
      </c>
    </row>
    <row r="12">
      <c r="A12" t="inlineStr">
        <is>
          <t>Secondary</t>
        </is>
      </c>
      <c r="B12" t="inlineStr">
        <is>
          <t>MRT or LRT, with or without a bus</t>
        </is>
      </c>
      <c r="C12">
        <f>SUMIF(Groups!$B$2:$B$12,$B12,Groups!D$2:D$12)</f>
        <v/>
      </c>
      <c r="D12" s="5">
        <f>C12/SUMIF($A$2:$A$13,$A12,$C$2:$C$13)</f>
        <v/>
      </c>
    </row>
    <row r="13">
      <c r="A13" t="inlineStr">
        <is>
          <t>Secondary</t>
        </is>
      </c>
      <c r="B13" t="inlineStr">
        <is>
          <t>Other ways</t>
        </is>
      </c>
      <c r="C13">
        <f>SUMIF(Groups!$B$2:$B$12,$B13,Groups!D$2:D$12)</f>
        <v/>
      </c>
      <c r="D13" s="5">
        <f>C13/SUMIF($A$2:$A$13,$A13,$C$2:$C$13)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78" customWidth="1" min="1" max="1"/>
    <col width="14" customWidth="1" min="2" max="2"/>
    <col width="16" customWidth="1" min="3" max="3"/>
  </cols>
  <sheetData>
    <row r="1">
      <c r="A1" s="4" t="inlineStr">
        <is>
          <t>Check</t>
        </is>
      </c>
      <c r="B1" s="4" t="inlineStr">
        <is>
          <t>My number</t>
        </is>
      </c>
      <c r="C1" s="4" t="inlineStr">
        <is>
          <t>Census number</t>
        </is>
      </c>
      <c r="D1" s="4" t="inlineStr">
        <is>
          <t>Same?</t>
        </is>
      </c>
    </row>
    <row r="2">
      <c r="A2" t="inlineStr">
        <is>
          <t>Primary: my 6 groups add up to the census total</t>
        </is>
      </c>
      <c r="B2">
        <f>SUMIF(Clean!$A$2:$A$13,"Primary",Clean!$C$2:$C$13)</f>
        <v/>
      </c>
      <c r="C2">
        <f>Raw!H2</f>
        <v/>
      </c>
      <c r="D2">
        <f>B2=C2</f>
        <v/>
      </c>
    </row>
    <row r="3">
      <c r="A3" t="inlineStr">
        <is>
          <t>Secondary: my 6 groups add up to the census total</t>
        </is>
      </c>
      <c r="B3">
        <f>SUMIF(Clean!$A$2:$A$13,"Secondary",Clean!$C$2:$C$13)</f>
        <v/>
      </c>
      <c r="C3">
        <f>Raw!K2</f>
        <v/>
      </c>
      <c r="D3">
        <f>B3=C3</f>
        <v/>
      </c>
    </row>
    <row r="4">
      <c r="A4" t="inlineStr">
        <is>
          <t>Pre-primary and primary needing no transport (report says 43.0%)</t>
        </is>
      </c>
      <c r="B4">
        <f>ROUND((Raw!E13+Raw!H13)/(Raw!E2+Raw!H2)*100,1)</f>
        <v/>
      </c>
      <c r="C4" t="n">
        <v>43</v>
      </c>
      <c r="D4">
        <f>B4=C4</f>
        <v/>
      </c>
    </row>
    <row r="5">
      <c r="A5" t="inlineStr">
        <is>
          <t>Pre-primary and primary going by car, taxi or private-hire car (report says 22.0%)</t>
        </is>
      </c>
      <c r="B5">
        <f>ROUND((Raw!E8+Raw!E7+Raw!H8+Raw!H7)/(Raw!E2+Raw!H2)*100,1)</f>
        <v/>
      </c>
      <c r="C5" t="n">
        <v>22</v>
      </c>
      <c r="D5">
        <f>B5=C5</f>
        <v/>
      </c>
    </row>
    <row r="6">
      <c r="A6" t="inlineStr">
        <is>
          <t>Secondary going by public bus only (report says 36.9%)</t>
        </is>
      </c>
      <c r="B6">
        <f>ROUND(Raw!K3/Raw!K2*100,1)</f>
        <v/>
      </c>
      <c r="C6" t="n">
        <v>36.9</v>
      </c>
      <c r="D6">
        <f>B6=C6</f>
        <v/>
      </c>
    </row>
    <row r="8">
      <c r="A8" t="inlineStr">
        <is>
          <t>Row 5 is 0.1 points off. I could not find why. It is small, so I kept going and wrote it in the change log.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0" customWidth="1" min="2" max="2"/>
  </cols>
  <sheetData>
    <row r="1">
      <c r="A1" s="6" t="inlineStr">
        <is>
          <t>#</t>
        </is>
      </c>
      <c r="B1" s="6" t="inlineStr">
        <is>
          <t>What I changed, and why</t>
        </is>
      </c>
    </row>
    <row r="2">
      <c r="A2" s="2" t="n">
        <v>1</v>
      </c>
      <c r="B2" s="2" t="inlineStr">
        <is>
          <t>Kept the raw file. I downloaded it from data.gov.sg on 24 October 2026. It sits in data/raw, unchanged.</t>
        </is>
      </c>
    </row>
    <row r="3">
      <c r="A3" s="2" t="n">
        <v>2</v>
      </c>
      <c r="B3" s="2" t="inlineStr">
        <is>
          <t>Watched for a comma inside a label. One way of travel is "Combination of Rail (MRT/LRT) and/or Public Bus, with Other Modes". The comma sits inside quote marks. Google Sheets reads it right. Splitting the lines on commas by hand breaks that row.</t>
        </is>
      </c>
    </row>
    <row r="4">
      <c r="A4" s="2" t="n">
        <v>3</v>
      </c>
      <c r="B4" s="2" t="inlineStr">
        <is>
          <t>Kept only the Total columns. My question is not about boys and girls, so I dropped the Males and Females columns.</t>
        </is>
      </c>
    </row>
    <row r="5">
      <c r="A5" s="2" t="n">
        <v>4</v>
      </c>
      <c r="B5" s="2" t="inlineStr">
        <is>
          <t>Kept only Primary and Secondary. My P6 class is about to move from one to the other. I dropped the other six levels.</t>
        </is>
      </c>
    </row>
    <row r="6">
      <c r="A6" s="2" t="n">
        <v>5</v>
      </c>
      <c r="B6" s="2" t="inlineStr">
        <is>
          <t>Merged 11 ways of travel into 6 groups. Groups under 1% are hard to see and add reading load. Car Only and Taxi/Private Hire Car Only became Car, taxi or private-hire car. The three rail rows became MRT or LRT, with or without a bus. Lorry/Pickup, Motorcycle/Scooter and Others became Other ways. No Transport Required became No transport needed. The Groups tab shows every row.</t>
        </is>
      </c>
    </row>
    <row r="7">
      <c r="A7" s="2" t="n">
        <v>6</v>
      </c>
      <c r="B7" s="2" t="inlineStr">
        <is>
          <t>Checked that the groups add up. Primary comes to 245,456 and secondary to 173,710, the same as the census totals. Then I worked out each group as a percent of its level, to 1 decimal place.</t>
        </is>
      </c>
    </row>
    <row r="8">
      <c r="A8" s="2" t="n">
        <v>7</v>
      </c>
      <c r="B8" s="2" t="inlineStr">
        <is>
          <t>Checked against the census report. Two numbers match: 43.0% of pre-primary and primary pupils needed no transport, and 36.9% of secondary pupils took a public bus only. One is 0.1 points off: I get 22.1% by car, taxi or private-hire car, and the report says 22.0%. I could not find why. It is small, so I kept going.</t>
        </is>
      </c>
    </row>
    <row r="9">
      <c r="A9" s="2" t="n">
        <v>8</v>
      </c>
      <c r="B9" s="2" t="inlineStr">
        <is>
          <t>Did not mix in the travel-time table. It counts 704,383 students, not 715,209, because its footnote says it leaves out students studying from home. It also does not split primary from secondary. So I quote the report's median travel times instead: 15 minutes for pre-primary and primary, 30 minutes for secondary.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8" customWidth="1" min="1" max="1"/>
    <col width="40" customWidth="1" min="2" max="2"/>
    <col width="20" customWidth="1" min="3" max="3"/>
    <col width="16" customWidth="1" min="4" max="4"/>
    <col width="44" customWidth="1" min="5" max="5"/>
  </cols>
  <sheetData>
    <row r="1">
      <c r="A1" s="7" t="inlineStr">
        <is>
          <t>MADE-UP DATA for practice. These are not real pupils.</t>
        </is>
      </c>
    </row>
    <row r="2">
      <c r="A2" s="4" t="inlineStr">
        <is>
          <t>slip</t>
        </is>
      </c>
      <c r="B2" s="4" t="inlineStr">
        <is>
          <t>how_i_travel</t>
        </is>
      </c>
      <c r="C2" s="4" t="inlineStr">
        <is>
          <t>minutes_as_written</t>
        </is>
      </c>
      <c r="D2" s="4" t="inlineStr">
        <is>
          <t>minutes_clean</t>
        </is>
      </c>
      <c r="E2" s="4" t="inlineStr">
        <is>
          <t>what_i_did</t>
        </is>
      </c>
    </row>
    <row r="3">
      <c r="A3" t="n">
        <v>1</v>
      </c>
      <c r="B3" t="inlineStr">
        <is>
          <t>Walk</t>
        </is>
      </c>
      <c r="C3" t="inlineStr">
        <is>
          <t>10</t>
        </is>
      </c>
      <c r="D3" t="n">
        <v>10</v>
      </c>
      <c r="E3" t="inlineStr"/>
    </row>
    <row r="4">
      <c r="A4" t="n">
        <v>2</v>
      </c>
      <c r="B4" t="inlineStr">
        <is>
          <t>School bus</t>
        </is>
      </c>
      <c r="C4" t="inlineStr">
        <is>
          <t>35 min</t>
        </is>
      </c>
      <c r="D4" t="n">
        <v>35</v>
      </c>
      <c r="E4" t="inlineStr">
        <is>
          <t>Took out the word</t>
        </is>
      </c>
    </row>
    <row r="5">
      <c r="A5" t="n">
        <v>3</v>
      </c>
      <c r="B5" t="inlineStr">
        <is>
          <t>Car</t>
        </is>
      </c>
      <c r="C5" t="inlineStr">
        <is>
          <t>15</t>
        </is>
      </c>
      <c r="D5" t="n">
        <v>15</v>
      </c>
      <c r="E5" t="inlineStr"/>
    </row>
    <row r="6">
      <c r="A6" t="n">
        <v>4</v>
      </c>
      <c r="B6" t="inlineStr">
        <is>
          <t>Walk</t>
        </is>
      </c>
      <c r="C6" t="inlineStr">
        <is>
          <t>5</t>
        </is>
      </c>
      <c r="D6" t="n">
        <v>5</v>
      </c>
      <c r="E6" t="inlineStr"/>
    </row>
    <row r="7">
      <c r="A7" t="n">
        <v>5</v>
      </c>
      <c r="B7" t="inlineStr">
        <is>
          <t>Public bus</t>
        </is>
      </c>
      <c r="C7" t="inlineStr">
        <is>
          <t>20</t>
        </is>
      </c>
      <c r="D7" t="n">
        <v>20</v>
      </c>
      <c r="E7" t="inlineStr"/>
    </row>
    <row r="8">
      <c r="A8" t="n">
        <v>6</v>
      </c>
      <c r="B8" t="inlineStr">
        <is>
          <t>Walk</t>
        </is>
      </c>
      <c r="C8" t="inlineStr">
        <is>
          <t>8</t>
        </is>
      </c>
      <c r="D8" t="n">
        <v>8</v>
      </c>
      <c r="E8" t="inlineStr"/>
    </row>
    <row r="9">
      <c r="A9" t="n">
        <v>7</v>
      </c>
      <c r="B9" t="inlineStr">
        <is>
          <t>School bus</t>
        </is>
      </c>
      <c r="C9" t="inlineStr">
        <is>
          <t>abt 30</t>
        </is>
      </c>
      <c r="D9" t="n">
        <v>30</v>
      </c>
      <c r="E9" t="inlineStr">
        <is>
          <t>Took out the word</t>
        </is>
      </c>
    </row>
    <row r="10">
      <c r="A10" t="n">
        <v>8</v>
      </c>
      <c r="B10" t="inlineStr">
        <is>
          <t>Car</t>
        </is>
      </c>
      <c r="C10" t="inlineStr">
        <is>
          <t>10</t>
        </is>
      </c>
      <c r="D10" t="n">
        <v>10</v>
      </c>
      <c r="E10" t="inlineStr"/>
    </row>
    <row r="11">
      <c r="A11" t="n">
        <v>9</v>
      </c>
      <c r="B11" t="inlineStr">
        <is>
          <t>Walk</t>
        </is>
      </c>
      <c r="C11" t="inlineStr">
        <is>
          <t>5 to 10</t>
        </is>
      </c>
      <c r="D11" t="n">
        <v>7.5</v>
      </c>
      <c r="E11" t="inlineStr">
        <is>
          <t>A range: used the middle</t>
        </is>
      </c>
    </row>
    <row r="12">
      <c r="A12" t="n">
        <v>10</v>
      </c>
      <c r="B12" t="inlineStr">
        <is>
          <t>Public bus</t>
        </is>
      </c>
      <c r="C12" t="inlineStr">
        <is>
          <t>25</t>
        </is>
      </c>
      <c r="D12" t="n">
        <v>25</v>
      </c>
      <c r="E12" t="inlineStr"/>
    </row>
    <row r="13">
      <c r="A13" t="n">
        <v>11</v>
      </c>
      <c r="B13" t="inlineStr">
        <is>
          <t>MRT and bus</t>
        </is>
      </c>
      <c r="C13" t="inlineStr">
        <is>
          <t>45</t>
        </is>
      </c>
      <c r="D13" t="n">
        <v>45</v>
      </c>
      <c r="E13" t="inlineStr"/>
    </row>
    <row r="14">
      <c r="A14" t="n">
        <v>12</v>
      </c>
      <c r="B14" t="inlineStr">
        <is>
          <t>Walk</t>
        </is>
      </c>
      <c r="C14" t="inlineStr">
        <is>
          <t>12</t>
        </is>
      </c>
      <c r="D14" t="n">
        <v>12</v>
      </c>
      <c r="E14" t="inlineStr"/>
    </row>
    <row r="15">
      <c r="A15" t="n">
        <v>12</v>
      </c>
      <c r="B15" t="inlineStr">
        <is>
          <t>Walk</t>
        </is>
      </c>
      <c r="C15" t="inlineStr">
        <is>
          <t>12</t>
        </is>
      </c>
      <c r="E15" t="inlineStr">
        <is>
          <t>Slip 12 typed twice: not counted</t>
        </is>
      </c>
    </row>
    <row r="16">
      <c r="A16" t="n">
        <v>13</v>
      </c>
      <c r="B16" t="inlineStr">
        <is>
          <t>School bus</t>
        </is>
      </c>
      <c r="C16" t="inlineStr">
        <is>
          <t>40</t>
        </is>
      </c>
      <c r="D16" t="n">
        <v>40</v>
      </c>
      <c r="E16" t="inlineStr"/>
    </row>
    <row r="17">
      <c r="A17" t="n">
        <v>14</v>
      </c>
      <c r="B17" t="inlineStr">
        <is>
          <t>Car</t>
        </is>
      </c>
      <c r="C17" t="inlineStr"/>
      <c r="E17" t="inlineStr">
        <is>
          <t>Blank: left blank</t>
        </is>
      </c>
    </row>
    <row r="18">
      <c r="A18" t="n">
        <v>15</v>
      </c>
      <c r="B18" t="inlineStr">
        <is>
          <t>Walk</t>
        </is>
      </c>
      <c r="C18" t="inlineStr">
        <is>
          <t>7</t>
        </is>
      </c>
      <c r="D18" t="n">
        <v>7</v>
      </c>
      <c r="E18" t="inlineStr"/>
    </row>
    <row r="19">
      <c r="A19" t="n">
        <v>16</v>
      </c>
      <c r="B19" t="inlineStr">
        <is>
          <t>Public bus</t>
        </is>
      </c>
      <c r="C19" t="inlineStr">
        <is>
          <t>15 mins</t>
        </is>
      </c>
      <c r="D19" t="n">
        <v>15</v>
      </c>
      <c r="E19" t="inlineStr">
        <is>
          <t>Took out the word</t>
        </is>
      </c>
    </row>
    <row r="20">
      <c r="A20" t="n">
        <v>17</v>
      </c>
      <c r="B20" t="inlineStr">
        <is>
          <t>Prefer not to say</t>
        </is>
      </c>
      <c r="C20" t="inlineStr">
        <is>
          <t>20</t>
        </is>
      </c>
      <c r="D20" t="n">
        <v>20</v>
      </c>
      <c r="E20" t="inlineStr"/>
    </row>
    <row r="21">
      <c r="A21" t="n">
        <v>18</v>
      </c>
      <c r="B21" t="inlineStr">
        <is>
          <t>Walk</t>
        </is>
      </c>
      <c r="C21" t="inlineStr">
        <is>
          <t>10</t>
        </is>
      </c>
      <c r="D21" t="n">
        <v>10</v>
      </c>
      <c r="E21" t="inlineStr"/>
    </row>
    <row r="22">
      <c r="A22" t="n">
        <v>19</v>
      </c>
      <c r="B22" t="inlineStr">
        <is>
          <t>School bus</t>
        </is>
      </c>
      <c r="C22" t="inlineStr">
        <is>
          <t>200</t>
        </is>
      </c>
      <c r="E22" t="inlineStr">
        <is>
          <t>Can't be right, can't ask: left blank</t>
        </is>
      </c>
    </row>
    <row r="23">
      <c r="A23" t="n">
        <v>20</v>
      </c>
      <c r="B23" t="inlineStr">
        <is>
          <t>Car</t>
        </is>
      </c>
      <c r="C23" t="inlineStr">
        <is>
          <t>20</t>
        </is>
      </c>
      <c r="D23" t="n">
        <v>20</v>
      </c>
      <c r="E23" t="inlineStr"/>
    </row>
    <row r="24">
      <c r="A24" t="n">
        <v>21</v>
      </c>
      <c r="B24" t="inlineStr">
        <is>
          <t>Walk</t>
        </is>
      </c>
      <c r="C24" t="inlineStr">
        <is>
          <t>half hour</t>
        </is>
      </c>
      <c r="D24" t="n">
        <v>30</v>
      </c>
      <c r="E24" t="inlineStr">
        <is>
          <t>Words to a number</t>
        </is>
      </c>
    </row>
    <row r="25">
      <c r="A25" t="n">
        <v>22</v>
      </c>
      <c r="B25" t="inlineStr">
        <is>
          <t>Public bus</t>
        </is>
      </c>
      <c r="C25" t="inlineStr">
        <is>
          <t>30</t>
        </is>
      </c>
      <c r="D25" t="n">
        <v>30</v>
      </c>
      <c r="E25" t="inlineStr"/>
    </row>
    <row r="26">
      <c r="A26" t="n">
        <v>23</v>
      </c>
      <c r="B26" t="inlineStr">
        <is>
          <t>Walk</t>
        </is>
      </c>
      <c r="C26" t="inlineStr">
        <is>
          <t>6</t>
        </is>
      </c>
      <c r="D26" t="n">
        <v>6</v>
      </c>
      <c r="E26" t="inlineStr"/>
    </row>
    <row r="27">
      <c r="A27" t="n">
        <v>24</v>
      </c>
      <c r="B27" t="inlineStr">
        <is>
          <t>Car</t>
        </is>
      </c>
      <c r="C27" t="inlineStr">
        <is>
          <t>12</t>
        </is>
      </c>
      <c r="D27" t="n">
        <v>12</v>
      </c>
      <c r="E27" t="inlineStr"/>
    </row>
    <row r="28">
      <c r="A28" t="n">
        <v>25</v>
      </c>
      <c r="B28" t="inlineStr">
        <is>
          <t>School bus</t>
        </is>
      </c>
      <c r="C28" t="inlineStr">
        <is>
          <t>25</t>
        </is>
      </c>
      <c r="D28" t="n">
        <v>25</v>
      </c>
      <c r="E28" t="inlineStr"/>
    </row>
    <row r="29">
      <c r="A29" t="n">
        <v>26</v>
      </c>
      <c r="B29" t="inlineStr">
        <is>
          <t>Walk</t>
        </is>
      </c>
      <c r="C29" t="inlineStr">
        <is>
          <t>not sure</t>
        </is>
      </c>
      <c r="E29" t="inlineStr">
        <is>
          <t>Not a number: left blank</t>
        </is>
      </c>
    </row>
    <row r="30">
      <c r="A30" t="n">
        <v>27</v>
      </c>
      <c r="B30" t="inlineStr">
        <is>
          <t>Public bus</t>
        </is>
      </c>
      <c r="C30" t="inlineStr">
        <is>
          <t>18</t>
        </is>
      </c>
      <c r="D30" t="n">
        <v>18</v>
      </c>
      <c r="E30" t="inlineStr"/>
    </row>
    <row r="31">
      <c r="A31" t="n">
        <v>28</v>
      </c>
      <c r="B31" t="inlineStr">
        <is>
          <t>Walk</t>
        </is>
      </c>
      <c r="C31" t="inlineStr">
        <is>
          <t>10</t>
        </is>
      </c>
      <c r="D31" t="n">
        <v>10</v>
      </c>
      <c r="E31" t="inlineStr"/>
    </row>
    <row r="32">
      <c r="A32" t="n">
        <v>29</v>
      </c>
      <c r="B32" t="inlineStr">
        <is>
          <t>Car</t>
        </is>
      </c>
      <c r="C32" t="inlineStr">
        <is>
          <t>15</t>
        </is>
      </c>
      <c r="D32" t="n">
        <v>15</v>
      </c>
      <c r="E32" t="inlineStr"/>
    </row>
    <row r="33">
      <c r="A33" t="n">
        <v>30</v>
      </c>
      <c r="B33" t="inlineStr">
        <is>
          <t>Walk</t>
        </is>
      </c>
      <c r="C33" t="inlineStr">
        <is>
          <t>5</t>
        </is>
      </c>
      <c r="D33" t="n">
        <v>5</v>
      </c>
      <c r="E33" t="inlineStr"/>
    </row>
    <row r="35">
      <c r="A35" t="inlineStr"/>
      <c r="B35" s="8" t="inlineStr">
        <is>
          <t>How many numbers</t>
        </is>
      </c>
      <c r="C35" t="inlineStr"/>
      <c r="D35">
        <f>COUNT(D3:D33)</f>
        <v/>
      </c>
    </row>
    <row r="36">
      <c r="A36" t="inlineStr"/>
      <c r="B36" s="8" t="inlineStr">
        <is>
          <t>AVERAGE (mean)</t>
        </is>
      </c>
      <c r="C36" t="inlineStr"/>
      <c r="D36">
        <f>ROUND(AVERAGE(D3:D33),1)</f>
        <v/>
      </c>
    </row>
    <row r="37">
      <c r="A37" t="inlineStr"/>
      <c r="B37" s="8" t="inlineStr">
        <is>
          <t>MEDIAN (middle)</t>
        </is>
      </c>
      <c r="C37" t="inlineStr"/>
      <c r="D37">
        <f>MEDIAN(D3:D33)</f>
        <v/>
      </c>
    </row>
    <row r="38">
      <c r="A38" t="inlineStr"/>
      <c r="B38" s="8" t="inlineStr">
        <is>
          <t>MIN (shortest)</t>
        </is>
      </c>
      <c r="C38" t="inlineStr"/>
      <c r="D38">
        <f>MIN(D3:D33)</f>
        <v/>
      </c>
    </row>
    <row r="39">
      <c r="A39" t="inlineStr"/>
      <c r="B39" s="8" t="inlineStr">
        <is>
          <t>MAX (longest)</t>
        </is>
      </c>
      <c r="C39" t="inlineStr"/>
      <c r="D39">
        <f>MAX(D3:D33)</f>
        <v/>
      </c>
    </row>
    <row r="40">
      <c r="A40" t="inlineStr"/>
      <c r="B40" s="8" t="inlineStr">
        <is>
          <t>Range (longest minus shortest)</t>
        </is>
      </c>
      <c r="C40" t="inlineStr"/>
      <c r="D40">
        <f>MAX(D3:D33)-MIN(D3:D33)</f>
        <v/>
      </c>
    </row>
    <row r="42">
      <c r="A42" t="inlineStr"/>
      <c r="B42" s="8" t="inlineStr">
        <is>
          <t>Count by way of travel (rows with a duplicate removed)</t>
        </is>
      </c>
      <c r="C42" t="inlineStr"/>
      <c r="D42" t="inlineStr"/>
    </row>
    <row r="43">
      <c r="A43" t="inlineStr"/>
      <c r="B43" t="inlineStr">
        <is>
          <t>Walk</t>
        </is>
      </c>
      <c r="C43" t="inlineStr"/>
      <c r="D43">
        <f>COUNTIFS(B3:B33,"Walk",E3:E33,"&lt;&gt;Slip 12 typed twice: not counted")</f>
        <v/>
      </c>
    </row>
    <row r="44">
      <c r="A44" t="inlineStr"/>
      <c r="B44" t="inlineStr">
        <is>
          <t>Car</t>
        </is>
      </c>
      <c r="C44" t="inlineStr"/>
      <c r="D44">
        <f>COUNTIFS(B3:B33,"Car",E3:E33,"&lt;&gt;Slip 12 typed twice: not counted")</f>
        <v/>
      </c>
    </row>
    <row r="45">
      <c r="A45" t="inlineStr"/>
      <c r="B45" t="inlineStr">
        <is>
          <t>School bus</t>
        </is>
      </c>
      <c r="C45" t="inlineStr"/>
      <c r="D45">
        <f>COUNTIFS(B3:B33,"School bus",E3:E33,"&lt;&gt;Slip 12 typed twice: not counted")</f>
        <v/>
      </c>
    </row>
    <row r="46">
      <c r="A46" t="inlineStr"/>
      <c r="B46" t="inlineStr">
        <is>
          <t>Public bus</t>
        </is>
      </c>
      <c r="C46" t="inlineStr"/>
      <c r="D46">
        <f>COUNTIFS(B3:B33,"Public bus",E3:E33,"&lt;&gt;Slip 12 typed twice: not counted")</f>
        <v/>
      </c>
    </row>
    <row r="47">
      <c r="A47" t="inlineStr"/>
      <c r="B47" t="inlineStr">
        <is>
          <t>MRT and bus</t>
        </is>
      </c>
      <c r="C47" t="inlineStr"/>
      <c r="D47">
        <f>COUNTIFS(B3:B33,"MRT and bus",E3:E33,"&lt;&gt;Slip 12 typed twice: not counted")</f>
        <v/>
      </c>
    </row>
    <row r="48">
      <c r="A48" t="inlineStr"/>
      <c r="B48" t="inlineStr">
        <is>
          <t>Prefer not to say</t>
        </is>
      </c>
      <c r="C48" t="inlineStr"/>
      <c r="D48">
        <f>COUNTIFS(B3:B33,"Prefer not to say",E3:E33,"&lt;&gt;Slip 12 typed twice: not counted")</f>
        <v/>
      </c>
    </row>
    <row r="49">
      <c r="A49" t="inlineStr"/>
      <c r="B49" t="inlineStr">
        <is>
          <t>Rule: before showing the class, merge any group under 5 into Other or not said.</t>
        </is>
      </c>
      <c r="C49" t="inlineStr"/>
      <c r="D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2026-10-24T06:01:28Z</dcterms:created>
  <dcterms:modified xsi:type="dcterms:W3CDTF">2026-10-24T06:01:28Z</dcterms:modified>
</cp:coreProperties>
</file>